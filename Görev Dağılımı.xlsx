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arozbek/Desktop/Bum/data/yedek/"/>
    </mc:Choice>
  </mc:AlternateContent>
  <xr:revisionPtr revIDLastSave="0" documentId="13_ncr:1_{AC08D27C-6655-D742-82E5-3B6F2185E986}" xr6:coauthVersionLast="47" xr6:coauthVersionMax="47" xr10:uidLastSave="{00000000-0000-0000-0000-000000000000}"/>
  <bookViews>
    <workbookView xWindow="5780" yWindow="1080" windowWidth="23020" windowHeight="15440" activeTab="1" xr2:uid="{C73E0AC9-3570-D94D-8033-CED05F12C407}"/>
  </bookViews>
  <sheets>
    <sheet name="Görev Dağılımı" sheetId="1" r:id="rId1"/>
    <sheet name="Kişi Özet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2" i="2"/>
  <c r="D5" i="2"/>
  <c r="D4" i="2"/>
  <c r="B6" i="2"/>
  <c r="D6" i="2" l="1"/>
  <c r="D3" i="2"/>
</calcChain>
</file>

<file path=xl/sharedStrings.xml><?xml version="1.0" encoding="utf-8"?>
<sst xmlns="http://schemas.openxmlformats.org/spreadsheetml/2006/main" count="72" uniqueCount="56">
  <si>
    <t>Kişi</t>
  </si>
  <si>
    <t>Başlık No</t>
  </si>
  <si>
    <t>Başlık</t>
  </si>
  <si>
    <t>Araştırılacak sorular</t>
  </si>
  <si>
    <t>Teslim edilecek çıktı</t>
  </si>
  <si>
    <t>Başlangıç kaynakları</t>
  </si>
  <si>
    <t>Durum</t>
  </si>
  <si>
    <t>Elif Işıl Çiçek</t>
  </si>
  <si>
    <t>1.1</t>
  </si>
  <si>
    <t>Konunun Önemi</t>
  </si>
  <si>
    <t>• Kısa vadeli ekonomik tahmin kimler için, hangi kararlarda kullanılıyor (hane, yatırımcı, politika yapıcı)?
• Türkiye'de enflasyon ve kurdaki oynaklık, güncel ve sık güncellenen tahmine neden ihtiyaç doğuruyor? Son yıllardan somut verilerle destekleyin.
• Türkiye'de açık, ücretsiz ve otomatik güncellenen bir tahmin aracı var mı? Bu boşluk projenin önemini gösteriyor.</t>
  </si>
  <si>
    <t>TCMB Enflasyon Raporları; TÜİK haber bültenleri; IMF ve OECD Türkiye raporları</t>
  </si>
  <si>
    <t>Başlanmadı</t>
  </si>
  <si>
    <t>1.2 (a)</t>
  </si>
  <si>
    <t>Literatür – Türkiye ekonomisinde tahmin çalışmaları</t>
  </si>
  <si>
    <t>• Türkiye'de enflasyon, kur ve büyüme tahmini üzerine hangi çalışmalar yapılmış? Hangi modelleri kullanmışlar (AR, ARIMA, VAR, makine öğrenmesi)?
• Bu çalışmalarda basit AR modelleri karmaşık modellere göre nasıl performans göstermiş?
• TCMB'nin kendi kısa vadeli tahmin yaklaşımları neler?
• Bulunan her çalışma için: yazar, yıl, veri, yöntem, temel bulgu.</t>
  </si>
  <si>
    <t>TCMB Çalışma Tebliğleri; Central Bank Review; DergiPark; Google Scholar</t>
  </si>
  <si>
    <t>Melek Sevimli</t>
  </si>
  <si>
    <t>1.2 (b)</t>
  </si>
  <si>
    <t>Literatür – AR modelleri ve kayan pencere yaklaşımı</t>
  </si>
  <si>
    <t>• AR modelleri kısa vadeli tahminde neden hâlâ güçlü bir referans (benchmark) kabul ediliyor?
• Kayan pencere (rolling window) ve genişleyen pencere (expanding window) arasındaki fark ne; literatür hangisini ne zaman öneriyor?
• Pencere uzunluğu seçimi tahmin sonucunu nasıl etkiliyor?
• Bulunan her çalışma için: yazar, yıl, yöntem, temel bulgu.</t>
  </si>
  <si>
    <t>Pesaran ve Timmermann (2007); Rossi ve Inoue (2012); Stock ve Watson (2007); Hyndman ve Athanasopoulos, Forecasting: Principles and Practice</t>
  </si>
  <si>
    <t>2.8.2</t>
  </si>
  <si>
    <t>Ölçekten Bağımsız Hata Ölçütü (MASE)</t>
  </si>
  <si>
    <t>• MAPE sıfıra yakın veya negatif değer alan serilerde (büyüme, dış ticaret, cari denge, bütçe dengesi) neden bozuluyor? Örnekle açıklayın.
• MASE nasıl tanımlanıyor, formülü ne, nasıl yorumlanıyor (MASE &lt; 1 ne demek)?
• Mevsimsel seriler için MASE'nin ölçeklemesi nasıl yapılıyor?
• MASE'nin göreli RMSE ve Theil U'ya göre avantajı ve sınırlılığı ne?</t>
  </si>
  <si>
    <t>Hyndman ve Koehler (2006); Hyndman ve Athanasopoulos, Forecasting: Principles and Practice</t>
  </si>
  <si>
    <t>Arzu Gülnur Okman</t>
  </si>
  <si>
    <t>2.3.5</t>
  </si>
  <si>
    <t>Metodoloji ve Baz Yılı Değişiklikleri</t>
  </si>
  <si>
    <t>Aşağıdaki değişiklikleri resmî kaynaklardan doğrulayın; her biri için tarih, ne değişti ve seriyi nasıl etkiliyor:
• TÜFE baz yılı değişikliği (seri kodunda 2025 bazı görünüyor)
• GSYH'de 2016 revizyonu ve 2009 bazına geçiş
• İşsizlikte 2014 ve 2021 tanım ve metodoloji değişiklikleri
• Sanayi üretiminde 2021 bazı
• Politika faizinin tanımı (2010'dan itibaren bir hafta vadeli repo, faiz koridoru dönemi)</t>
  </si>
  <si>
    <t>TÜİK metaveri sayfaları ve haber bültenleri; TCMB para politikası metinleri</t>
  </si>
  <si>
    <t>2.3.6</t>
  </si>
  <si>
    <t>Kaynaklar Arası Tutarlılık</t>
  </si>
  <si>
    <t>• Aynı gösterge EVDS, FRED, OECD ve Dünya Bankası'nda hangi tanım, birim ve frekansla yayımlanıyor? (ör. TÜFE, USD/TRY, GSYH)
• Kaynaklar arasında fark yaratan nedenler neler: baz yılı, ortalama/dönem sonu farkı, mevsimsellik, revizyon zamanlaması?
• FRED'deki Türkiye serileri asıl olarak hangi kaynaktan (OECD, IMF) alınıyor?
• Gerçek zamanlı veri ve revizyon sorunu: bugün indirilen veri, o dönemde açıklanan veriyle neden aynı değil? ALFRED nedir?</t>
  </si>
  <si>
    <t>FRED ve EVDS seri dokümantasyonu; OECD ve Dünya Bankası metaverileri; Croushore ve Stark (2001); ALFRED</t>
  </si>
  <si>
    <t>Elif Zeynep Balıkçı</t>
  </si>
  <si>
    <t>2.9</t>
  </si>
  <si>
    <t>Kullanılabilirlik Testi</t>
  </si>
  <si>
    <t>• System Usability Scale (SUS) nedir: 10 soru, 5'li ölçek, 0–100 puan nasıl hesaplanır?
• SUS puanı nasıl yorumlanır (ortalama 68, sıfat ölçeği)? Önerideki '%80 üzeri memnuniyet' hedefi SUS'ta neye karşılık gelir?
• SUS'un Türkçe uyarlaması var mı?
• 8–10 kişilik bir test nasıl tasarlanır: katılımcı profili (iktisat öğrencileri ve teknik olmayan kullanıcılar), verilecek görevler, uygulama adımları?
• Benzer araçlar (Atlanta Fed GDPNow, NY Fed Nowcast, TCMB veri araçları) kullanıcıya neyi nasıl sunuyor?</t>
  </si>
  <si>
    <t>Brooke (1996); Bangor, Kortum ve Miller (2008); Atlanta Fed GDPNow ve NY Fed Nowcast sayfaları</t>
  </si>
  <si>
    <t>1.3</t>
  </si>
  <si>
    <t>Araştırma Sorusu ve Hipotezler</t>
  </si>
  <si>
    <t>• Araştırma sorusu ile H1 ve H2'yi araştırma önerisinden aktarın.
• Hipotezlerin dayandığı literatürü 1.2'deki çalışmalarla bağlayın.</t>
  </si>
  <si>
    <t>Araştırma önerisi; 1.2 literatür tabloları</t>
  </si>
  <si>
    <t>Başlık sayısı</t>
  </si>
  <si>
    <t>Tamamlanan</t>
  </si>
  <si>
    <t>İlerleme</t>
  </si>
  <si>
    <t>Toplam</t>
  </si>
  <si>
    <t>Yaklaşık 1 sayfa metin; iddiaları destekleyen güncel veriler (kaynaklı).</t>
  </si>
  <si>
    <t>Literatür özet tablosu (en az 8 çalışma: Yazar – Yıl – Değişken – Yöntem – Bulgu); yaklaşık 1 sayfa metin.</t>
  </si>
  <si>
    <t>Literatür özet tablosu (en az 6 çalışma); yaklaşık 1 sayfa metin.</t>
  </si>
  <si>
    <t>Yöntem metni (yaklaşık 1 sayfa) ve MASE formülü; Tablo 2.4'e eklenecek MASE satırı için kısa açıklama.</t>
  </si>
  <si>
    <t>Metodoloji değişiklikleri tablosu (Gösterge – Değişiklik – Tarih – Seriye etkisi – Kaynak); yaklaşık 1 sayfa metin.</t>
  </si>
  <si>
    <t>Kaynak karşılaştırma tablosu (Gösterge – Kaynak – Tanım – Birim – Frekans – Not); yaklaşık 1 sayfa metin.</t>
  </si>
  <si>
    <t>Yöntem metni (yaklaşık 1 sayfa); Türkçe SUS anket formu; test görevleri listesi.</t>
  </si>
  <si>
    <t>Yaklaşık 1 sayfa metin.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</si>
</sst>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6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/>
    <xf numFmtId="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89A853-5035-6E4B-92FB-2B435D3A3781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3B61-DF9C-C242-848B-09EE891FA851}">
  <dimension ref="A1:G9"/>
  <sheetViews>
    <sheetView zoomScale="107" workbookViewId="0">
      <selection activeCell="G2" sqref="G2"/>
    </sheetView>
  </sheetViews>
  <sheetFormatPr baseColWidth="10" defaultRowHeight="16" x14ac:dyDescent="0.2"/>
  <cols>
    <col min="1" max="1" width="17.5" bestFit="1" customWidth="1"/>
    <col min="2" max="2" width="9.5" bestFit="1" customWidth="1"/>
    <col min="3" max="3" width="19" bestFit="1" customWidth="1"/>
    <col min="4" max="4" width="56.6640625" bestFit="1" customWidth="1"/>
    <col min="5" max="5" width="22.6640625" bestFit="1" customWidth="1"/>
    <col min="6" max="6" width="26.33203125" bestFit="1" customWidth="1"/>
    <col min="7" max="7" width="11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5" x14ac:dyDescent="0.2">
      <c r="A2" s="2" t="s">
        <v>7</v>
      </c>
      <c r="B2" s="3" t="s">
        <v>8</v>
      </c>
      <c r="C2" s="2" t="s">
        <v>9</v>
      </c>
      <c r="D2" s="2" t="s">
        <v>10</v>
      </c>
      <c r="E2" s="2" t="s">
        <v>48</v>
      </c>
      <c r="F2" s="2" t="s">
        <v>11</v>
      </c>
      <c r="G2" s="4" t="s">
        <v>12</v>
      </c>
    </row>
    <row r="3" spans="1:7" ht="105" x14ac:dyDescent="0.2">
      <c r="A3" s="2" t="s">
        <v>7</v>
      </c>
      <c r="B3" s="3" t="s">
        <v>13</v>
      </c>
      <c r="C3" s="2" t="s">
        <v>14</v>
      </c>
      <c r="D3" s="2" t="s">
        <v>15</v>
      </c>
      <c r="E3" s="2" t="s">
        <v>49</v>
      </c>
      <c r="F3" s="2" t="s">
        <v>16</v>
      </c>
      <c r="G3" s="4" t="s">
        <v>12</v>
      </c>
    </row>
    <row r="4" spans="1:7" ht="100" customHeight="1" x14ac:dyDescent="0.2">
      <c r="A4" s="2" t="s">
        <v>17</v>
      </c>
      <c r="B4" s="3" t="s">
        <v>18</v>
      </c>
      <c r="C4" s="2" t="s">
        <v>19</v>
      </c>
      <c r="D4" s="2" t="s">
        <v>20</v>
      </c>
      <c r="E4" s="2" t="s">
        <v>50</v>
      </c>
      <c r="F4" s="2" t="s">
        <v>21</v>
      </c>
      <c r="G4" s="4" t="s">
        <v>12</v>
      </c>
    </row>
    <row r="5" spans="1:7" ht="113" customHeight="1" x14ac:dyDescent="0.2">
      <c r="A5" s="2" t="s">
        <v>17</v>
      </c>
      <c r="B5" s="3" t="s">
        <v>22</v>
      </c>
      <c r="C5" s="2" t="s">
        <v>23</v>
      </c>
      <c r="D5" s="2" t="s">
        <v>24</v>
      </c>
      <c r="E5" s="2" t="s">
        <v>51</v>
      </c>
      <c r="F5" s="2" t="s">
        <v>25</v>
      </c>
      <c r="G5" s="4" t="s">
        <v>12</v>
      </c>
    </row>
    <row r="6" spans="1:7" ht="120" x14ac:dyDescent="0.2">
      <c r="A6" s="2" t="s">
        <v>26</v>
      </c>
      <c r="B6" s="3" t="s">
        <v>27</v>
      </c>
      <c r="C6" s="2" t="s">
        <v>28</v>
      </c>
      <c r="D6" s="2" t="s">
        <v>29</v>
      </c>
      <c r="E6" s="2" t="s">
        <v>52</v>
      </c>
      <c r="F6" s="2" t="s">
        <v>30</v>
      </c>
      <c r="G6" s="4" t="s">
        <v>12</v>
      </c>
    </row>
    <row r="7" spans="1:7" ht="135" x14ac:dyDescent="0.2">
      <c r="A7" s="2" t="s">
        <v>26</v>
      </c>
      <c r="B7" s="3" t="s">
        <v>31</v>
      </c>
      <c r="C7" s="2" t="s">
        <v>32</v>
      </c>
      <c r="D7" s="2" t="s">
        <v>33</v>
      </c>
      <c r="E7" s="2" t="s">
        <v>53</v>
      </c>
      <c r="F7" s="2" t="s">
        <v>34</v>
      </c>
      <c r="G7" s="4" t="s">
        <v>12</v>
      </c>
    </row>
    <row r="8" spans="1:7" ht="150" x14ac:dyDescent="0.2">
      <c r="A8" s="2" t="s">
        <v>35</v>
      </c>
      <c r="B8" s="3" t="s">
        <v>36</v>
      </c>
      <c r="C8" s="2" t="s">
        <v>37</v>
      </c>
      <c r="D8" s="2" t="s">
        <v>38</v>
      </c>
      <c r="E8" s="2" t="s">
        <v>54</v>
      </c>
      <c r="F8" s="2" t="s">
        <v>39</v>
      </c>
      <c r="G8" s="4" t="s">
        <v>12</v>
      </c>
    </row>
    <row r="9" spans="1:7" ht="30" x14ac:dyDescent="0.2">
      <c r="A9" s="2" t="s">
        <v>35</v>
      </c>
      <c r="B9" s="3" t="s">
        <v>40</v>
      </c>
      <c r="C9" s="2" t="s">
        <v>41</v>
      </c>
      <c r="D9" s="2" t="s">
        <v>42</v>
      </c>
      <c r="E9" s="2" t="s">
        <v>55</v>
      </c>
      <c r="F9" s="2" t="s">
        <v>43</v>
      </c>
      <c r="G9" s="4" t="s">
        <v>12</v>
      </c>
    </row>
  </sheetData>
  <dataValidations count="1">
    <dataValidation type="list" allowBlank="1" sqref="G2:G9" xr:uid="{F1C85D1D-8DF1-0346-9B68-6E0664CCC5E3}">
      <formula1>"Başlanmadı,Taslak,Düzeltildi,Tamamlandı"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CA3C-1164-1847-B243-1083967CD913}">
  <dimension ref="A1:D6"/>
  <sheetViews>
    <sheetView tabSelected="1" workbookViewId="0">
      <selection activeCell="C6" sqref="C6"/>
    </sheetView>
  </sheetViews>
  <sheetFormatPr baseColWidth="10" defaultRowHeight="16" x14ac:dyDescent="0.2"/>
  <cols>
    <col min="1" max="1" width="15.6640625" bestFit="1" customWidth="1"/>
    <col min="2" max="2" width="15.1640625" bestFit="1" customWidth="1"/>
    <col min="3" max="3" width="15.6640625" bestFit="1" customWidth="1"/>
    <col min="4" max="4" width="10" bestFit="1" customWidth="1"/>
  </cols>
  <sheetData>
    <row r="1" spans="1:4" ht="38" x14ac:dyDescent="0.2">
      <c r="A1" s="5" t="s">
        <v>0</v>
      </c>
      <c r="B1" s="5" t="s">
        <v>44</v>
      </c>
      <c r="C1" s="5" t="s">
        <v>45</v>
      </c>
      <c r="D1" s="5" t="s">
        <v>46</v>
      </c>
    </row>
    <row r="2" spans="1:4" ht="19" x14ac:dyDescent="0.2">
      <c r="A2" s="6" t="s">
        <v>7</v>
      </c>
      <c r="B2" s="6">
        <v>2</v>
      </c>
      <c r="C2" s="6">
        <v>0</v>
      </c>
      <c r="D2" s="7">
        <f t="shared" ref="D2:D5" si="0">IF(B2=0,"—",C2/B2)</f>
        <v>0</v>
      </c>
    </row>
    <row r="3" spans="1:4" ht="19" x14ac:dyDescent="0.2">
      <c r="A3" s="6" t="s">
        <v>17</v>
      </c>
      <c r="B3" s="6">
        <v>2</v>
      </c>
      <c r="C3" s="6">
        <v>0</v>
      </c>
      <c r="D3" s="7">
        <f t="shared" si="0"/>
        <v>0</v>
      </c>
    </row>
    <row r="4" spans="1:4" ht="38" x14ac:dyDescent="0.2">
      <c r="A4" s="6" t="s">
        <v>26</v>
      </c>
      <c r="B4" s="6">
        <v>2</v>
      </c>
      <c r="C4" s="6">
        <v>0</v>
      </c>
      <c r="D4" s="7">
        <f t="shared" si="0"/>
        <v>0</v>
      </c>
    </row>
    <row r="5" spans="1:4" ht="38" x14ac:dyDescent="0.2">
      <c r="A5" s="6" t="s">
        <v>35</v>
      </c>
      <c r="B5" s="6">
        <v>2</v>
      </c>
      <c r="C5" s="6">
        <v>0</v>
      </c>
      <c r="D5" s="7">
        <f t="shared" si="0"/>
        <v>0</v>
      </c>
    </row>
    <row r="6" spans="1:4" ht="18" x14ac:dyDescent="0.2">
      <c r="A6" s="8" t="s">
        <v>47</v>
      </c>
      <c r="B6" s="9">
        <f>SUM(B2:B5)</f>
        <v>8</v>
      </c>
      <c r="C6" s="9">
        <f>SUM(C2:C5)</f>
        <v>0</v>
      </c>
      <c r="D6" s="10">
        <f>IF(B6=0,0,C6/B6)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Görev Dağılımı</vt:lpstr>
      <vt:lpstr>Kişi Özet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Sidar ÖZBEK</dc:creator>
  <cp:lastModifiedBy>Sidar ÖZBEK</cp:lastModifiedBy>
  <dcterms:created xsi:type="dcterms:W3CDTF">2026-10-14T12:14:01Z</dcterms:created>
  <dcterms:modified xsi:type="dcterms:W3CDTF">2026-10-14T12:38:52Z</dcterms:modified>
</cp:coreProperties>
</file>